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9661ffc87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Активы" sheetId="1" r:id="R7581487ffd1945e9"/>
    <x:sheet xmlns:r="http://schemas.openxmlformats.org/officeDocument/2006/relationships" name="02 Журнал аудита" sheetId="2" r:id="R547946bb56024018"/>
    <x:sheet xmlns:r="http://schemas.openxmlformats.org/officeDocument/2006/relationships" name="03 Контроли" sheetId="3" r:id="R4ae7daf230434d3a"/>
    <x:sheet xmlns:r="http://schemas.openxmlformats.org/officeDocument/2006/relationships" name="04 Наблюдение" sheetId="4" r:id="R7521a860de96496b"/>
    <x:sheet xmlns:r="http://schemas.openxmlformats.org/officeDocument/2006/relationships" name="05 План и бюджет" sheetId="5" r:id="R3fa738f9e27e4a8f"/>
    <x:sheet xmlns:r="http://schemas.openxmlformats.org/officeDocument/2006/relationships" name="00 Панель" sheetId="6" r:id="R48d10a32fda04767"/>
    <x:sheet xmlns:r="http://schemas.openxmlformats.org/officeDocument/2006/relationships" name="06 Решения и запросы" sheetId="7" r:id="R67911293766d4039"/>
    <x:sheet xmlns:r="http://schemas.openxmlformats.org/officeDocument/2006/relationships" name="07 Инструкция" sheetId="8" r:id="R38ea038e535c4b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087E8B"/>
      </x:patternFill>
    </x:fill>
    <x:fill>
      <x:patternFill patternType="solid">
        <x:fgColor rgb="FFEAF3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d87c4bbb614962" /><Relationship Type="http://schemas.openxmlformats.org/officeDocument/2006/relationships/theme" Target="/xl/theme/theme1.xml" Id="Rc35936fb364a4798" /><Relationship Type="http://schemas.openxmlformats.org/officeDocument/2006/relationships/sharedStrings" Target="/xl/sharedStrings.xml" Id="R369b184c572d42c0" /><Relationship Type="http://schemas.openxmlformats.org/officeDocument/2006/relationships/worksheet" Target="/xl/worksheets/sheet1.xml" Id="R7581487ffd1945e9" /><Relationship Type="http://schemas.openxmlformats.org/officeDocument/2006/relationships/worksheet" Target="/xl/worksheets/sheet2.xml" Id="R547946bb56024018" /><Relationship Type="http://schemas.openxmlformats.org/officeDocument/2006/relationships/worksheet" Target="/xl/worksheets/sheet3.xml" Id="R4ae7daf230434d3a" /><Relationship Type="http://schemas.openxmlformats.org/officeDocument/2006/relationships/worksheet" Target="/xl/worksheets/sheet4.xml" Id="R7521a860de96496b" /><Relationship Type="http://schemas.openxmlformats.org/officeDocument/2006/relationships/worksheet" Target="/xl/worksheets/sheet5.xml" Id="R3fa738f9e27e4a8f" /><Relationship Type="http://schemas.openxmlformats.org/officeDocument/2006/relationships/worksheet" Target="/xl/worksheets/sheet6.xml" Id="R48d10a32fda04767" /><Relationship Type="http://schemas.openxmlformats.org/officeDocument/2006/relationships/worksheet" Target="/xl/worksheets/sheet7.xml" Id="R67911293766d4039" /><Relationship Type="http://schemas.openxmlformats.org/officeDocument/2006/relationships/worksheet" Target="/xl/worksheets/sheet8.xml" Id="R38ea038e535c4b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4" hidden="0" customWidth="1"/>
    <x:col min="3" max="3" width="34" hidden="0" customWidth="1"/>
    <x:col min="4" max="4" width="22" hidden="0" customWidth="1"/>
    <x:col min="5" max="5" width="25" hidden="0" customWidth="1"/>
    <x:col min="6" max="6" width="25" hidden="0" customWidth="1"/>
    <x:col min="7" max="7" width="36" hidden="0" customWidth="1"/>
  </x:cols>
  <x:sheetData>
    <x:row r="1" ht="32" customHeight="1">
      <x:c r="A1" s="4" t="str">
        <x:v>Код</x:v>
      </x:c>
      <x:c r="B1" s="4" t="str">
        <x:v>Актив</x:v>
      </x:c>
      <x:c r="C1" s="4" t="str">
        <x:v>Содержание</x:v>
      </x:c>
      <x:c r="D1" s="4" t="str">
        <x:v>Критичность (оценка)</x:v>
      </x:c>
      <x:c r="E1" s="4" t="str">
        <x:v>Ответственный (роль)</x:v>
      </x:c>
      <x:c r="F1" s="4" t="str">
        <x:v>Точка наблюдения</x:v>
      </x:c>
      <x:c r="G1" s="4" t="str">
        <x:v>Основание</x:v>
      </x:c>
    </x:row>
    <x:row r="2" ht="52" customHeight="1">
      <x:c r="A2" s="8" t="str">
        <x:v>A1</x:v>
      </x:c>
      <x:c r="B2" s="8" t="str">
        <x:v>Архив материалов</x:v>
      </x:c>
      <x:c r="C2" s="8" t="str">
        <x:v>ПДн и экспертные документы</x:v>
      </x:c>
      <x:c r="D2" s="8" t="str">
        <x:v>Высокая</x:v>
      </x:c>
      <x:c r="E2" s="8" t="str">
        <x:v>Владелец архива</x:v>
      </x:c>
      <x:c r="F2" s="8" t="str">
        <x:v>Т2: аудит доступа</x:v>
      </x:c>
      <x:c r="G2" s="8" t="str">
        <x:v>Подтверждено описанием</x:v>
      </x:c>
    </x:row>
    <x:row r="3" ht="52" customHeight="1">
      <x:c r="A3" s="8" t="str">
        <x:v>A2</x:v>
      </x:c>
      <x:c r="B3" s="8" t="str">
        <x:v>Внутренний портал</x:v>
      </x:c>
      <x:c r="C3" s="8" t="str">
        <x:v>Операции с документами</x:v>
      </x:c>
      <x:c r="D3" s="8" t="str">
        <x:v>Высокая</x:v>
      </x:c>
      <x:c r="E3" s="8" t="str">
        <x:v>Владелец портала</x:v>
      </x:c>
      <x:c r="F3" s="8" t="str">
        <x:v>Т2: журнал приложения</x:v>
      </x:c>
      <x:c r="G3" s="8" t="str">
        <x:v>Подтверждено описанием</x:v>
      </x:c>
    </x:row>
    <x:row r="4" ht="52" customHeight="1">
      <x:c r="A4" s="8" t="str">
        <x:v>A3</x:v>
      </x:c>
      <x:c r="B4" s="8" t="str">
        <x:v>Учётные записи и VPN</x:v>
      </x:c>
      <x:c r="C4" s="8" t="str">
        <x:v>Роли, токены, привилегии</x:v>
      </x:c>
      <x:c r="D4" s="8" t="str">
        <x:v>Высокая</x:v>
      </x:c>
      <x:c r="E4" s="8" t="str">
        <x:v>ИТ / ИБ</x:v>
      </x:c>
      <x:c r="F4" s="8" t="str">
        <x:v>VPN + EDR</x:v>
      </x:c>
      <x:c r="G4" s="8" t="str">
        <x:v>Подтверждено описанием</x:v>
      </x:c>
    </x:row>
    <x:row r="5" ht="52" customHeight="1">
      <x:c r="A5" s="8" t="str">
        <x:v>A4</x:v>
      </x:c>
      <x:c r="B5" s="8" t="str">
        <x:v>Журналы и сборщик</x:v>
      </x:c>
      <x:c r="C5" s="8" t="str">
        <x:v>Логи сети и приложений</x:v>
      </x:c>
      <x:c r="D5" s="8" t="str">
        <x:v>Высокая</x:v>
      </x:c>
      <x:c r="E5" s="8" t="str">
        <x:v>ИТ / SOC</x:v>
      </x:c>
      <x:c r="F5" s="8" t="str">
        <x:v>Контроль доставки</x:v>
      </x:c>
      <x:c r="G5" s="8" t="str">
        <x:v>Работоспособность требует проверки</x:v>
      </x:c>
    </x:row>
    <x:row r="6" ht="52" customHeight="1">
      <x:c r="A6" s="8" t="str">
        <x:v>A5</x:v>
      </x:c>
      <x:c r="B6" s="8" t="str">
        <x:v>Резервные копии и ключи</x:v>
      </x:c>
      <x:c r="C6" s="8" t="str">
        <x:v>Копии и восстановление</x:v>
      </x:c>
      <x:c r="D6" s="8" t="str">
        <x:v>Высокая</x:v>
      </x:c>
      <x:c r="E6" s="8" t="str">
        <x:v>Системный администратор</x:v>
      </x:c>
      <x:c r="F6" s="8" t="str">
        <x:v>Журнал бэкапов</x:v>
      </x:c>
      <x:c r="G6" s="8" t="str">
        <x:v>RPO/RTO требуют проверки</x:v>
      </x:c>
    </x:row>
    <x:row r="7" ht="52" customHeight="1">
      <x:c r="A7" s="8" t="str">
        <x:v>A6</x:v>
      </x:c>
      <x:c r="B7" s="8" t="str">
        <x:v>Сеть и IP-телефония</x:v>
      </x:c>
      <x:c r="C7" s="8" t="str">
        <x:v>МЭ, коммутаторы, АРМ</x:v>
      </x:c>
      <x:c r="D7" s="8" t="str">
        <x:v>Высокая</x:v>
      </x:c>
      <x:c r="E7" s="8" t="str">
        <x:v>Сетевой администратор</x:v>
      </x:c>
      <x:c r="F7" s="8" t="str">
        <x:v>Т1: МЭ</x:v>
      </x:c>
      <x:c r="G7" s="8" t="str">
        <x:v>Избыточное правило МЭ подтверждено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39" hidden="0" customWidth="1"/>
    <x:col min="4" max="4" width="25" hidden="0" customWidth="1"/>
    <x:col min="5" max="5" width="16" hidden="0" customWidth="1"/>
    <x:col min="6" max="6" width="42" hidden="0" customWidth="1"/>
    <x:col min="7" max="7" width="24" hidden="0" customWidth="1"/>
    <x:col min="8" max="8" width="22" hidden="0" customWidth="1"/>
    <x:col min="9" max="9" width="18" hidden="0" customWidth="1"/>
    <x:col min="10" max="10" width="37" hidden="0" customWidth="1"/>
    <x:col min="11" max="11" width="42" hidden="0" customWidth="1"/>
    <x:col min="12" max="12" width="22" hidden="0" customWidth="1"/>
  </x:cols>
  <x:sheetData>
    <x:row r="1" ht="32" customHeight="1">
      <x:c r="A1" s="4" t="str">
        <x:v>ID</x:v>
      </x:c>
      <x:c r="B1" s="4" t="str">
        <x:v>Актив</x:v>
      </x:c>
      <x:c r="C1" s="4" t="str">
        <x:v>Наблюдение</x:v>
      </x:c>
      <x:c r="D1" s="4" t="str">
        <x:v>Достоверность</x:v>
      </x:c>
      <x:c r="E1" s="4" t="str">
        <x:v>Риск</x:v>
      </x:c>
      <x:c r="F1" s="4" t="str">
        <x:v>Корректирующее действие</x:v>
      </x:c>
      <x:c r="G1" s="4" t="str">
        <x:v>Ответственный</x:v>
      </x:c>
      <x:c r="H1" s="4" t="str">
        <x:v>Срок</x:v>
      </x:c>
      <x:c r="I1" s="4" t="str">
        <x:v>Статус</x:v>
      </x:c>
      <x:c r="J1" s="4" t="str">
        <x:v>Доказательство</x:v>
      </x:c>
      <x:c r="K1" s="4" t="str">
        <x:v>Правовая основа</x:v>
      </x:c>
      <x:c r="L1" s="4" t="str">
        <x:v>Подтверждено проверкой</x:v>
      </x:c>
    </x:row>
    <x:row r="2" ht="52" customHeight="1">
      <x:c r="A2" s="8" t="str">
        <x:v>F-001</x:v>
      </x:c>
      <x:c r="B2" s="8" t="str">
        <x:v>A6 / A3</x:v>
      </x:c>
      <x:c r="C2" s="8" t="str">
        <x:v>Избыточное временное правило МЭ</x:v>
      </x:c>
      <x:c r="D2" s="8" t="str">
        <x:v>Подтверждено карточкой</x:v>
      </x:c>
      <x:c r="E2" s="8" t="str">
        <x:v>Высокий</x:v>
      </x:c>
      <x:c r="F2" s="8" t="str">
        <x:v>Проверить зависимости, ограничить правило</x:v>
      </x:c>
      <x:c r="G2" s="8" t="str">
        <x:v>Сетевой администратор</x:v>
      </x:c>
      <x:c r="H2" s="8" t="str">
        <x:v>Срочно; план M4</x:v>
      </x:c>
      <x:c r="I2" s="8" t="str">
        <x:v>Не начато</x:v>
      </x:c>
      <x:c r="J2" s="8" t="str">
        <x:v>Конфигурация МЭ + протокол теста</x:v>
      </x:c>
      <x:c r="K2" s="8" t="str">
        <x:v>149-ФЗ ст.16; 152-ФЗ ст.19 при применимости</x:v>
      </x:c>
      <x:c r="L2" s="8" t="str">
        <x:v>Нет</x:v>
      </x:c>
    </x:row>
    <x:row r="3" ht="52" customHeight="1">
      <x:c r="A3" s="8" t="str">
        <x:v>F-002</x:v>
      </x:c>
      <x:c r="B3" s="8" t="str">
        <x:v>A3 / A6</x:v>
      </x:c>
      <x:c r="C3" s="8" t="str">
        <x:v>EDR неактивен на 2 из 5 критичных АРМ</x:v>
      </x:c>
      <x:c r="D3" s="8" t="str">
        <x:v>Подтверждено карточкой</x:v>
      </x:c>
      <x:c r="E3" s="8" t="str">
        <x:v>Высокий</x:v>
      </x:c>
      <x:c r="F3" s="8" t="str">
        <x:v>Восстановить агенты, проверить 5/5</x:v>
      </x:c>
      <x:c r="G3" s="8" t="str">
        <x:v>Инженер ИБ</x:v>
      </x:c>
      <x:c r="H3" s="8" t="str">
        <x:v>Срочно; план M8</x:v>
      </x:c>
      <x:c r="I3" s="8" t="str">
        <x:v>Не начато</x:v>
      </x:c>
      <x:c r="J3" s="8" t="str">
        <x:v>Консоль EDR + тестовое событие</x:v>
      </x:c>
      <x:c r="K3" s="8" t="str">
        <x:v>149-ФЗ ст.16; 152-ФЗ ст.19 при применимости</x:v>
      </x:c>
      <x:c r="L3" s="8" t="str">
        <x:v>Нет</x:v>
      </x:c>
    </x:row>
    <x:row r="4" ht="52" customHeight="1">
      <x:c r="A4" s="8" t="str">
        <x:v>F-003</x:v>
      </x:c>
      <x:c r="B4" s="8" t="str">
        <x:v>A4</x:v>
      </x:c>
      <x:c r="C4" s="8" t="str">
        <x:v>Проверка полноты сбора событий</x:v>
      </x:c>
      <x:c r="D4" s="8" t="str">
        <x:v>Требует проверки</x:v>
      </x:c>
      <x:c r="E4" s="8" t="str">
        <x:v>Не оценён</x:v>
      </x:c>
      <x:c r="F4" s="8" t="str">
        <x:v>Проверить тестовые события Т1/Т2</x:v>
      </x:c>
      <x:c r="G4" s="8" t="str">
        <x:v>SOC / инженер ИБ</x:v>
      </x:c>
      <x:c r="H4" s="8" t="str">
        <x:v>До 7 дней</x:v>
      </x:c>
      <x:c r="I4" s="8" t="str">
        <x:v>Не начато</x:v>
      </x:c>
      <x:c r="J4" s="8" t="str">
        <x:v>Протокол доставки событий</x:v>
      </x:c>
      <x:c r="K4" s="8" t="str">
        <x:v>Применимые требования регистрации событий</x:v>
      </x:c>
      <x:c r="L4" s="8" t="str">
        <x:v>Нет</x:v>
      </x:c>
    </x:row>
    <x:row r="5" ht="52" customHeight="1">
      <x:c r="A5" s="8" t="str">
        <x:v>F-004</x:v>
      </x:c>
      <x:c r="B5" s="8" t="str">
        <x:v>A5 / A1</x:v>
      </x:c>
      <x:c r="C5" s="8" t="str">
        <x:v>Проверка восстановления архива за 60 мин, RPO 15 мин</x:v>
      </x:c>
      <x:c r="D5" s="8" t="str">
        <x:v>Требует проверки</x:v>
      </x:c>
      <x:c r="E5" s="8" t="str">
        <x:v>Не оценён</x:v>
      </x:c>
      <x:c r="F5" s="8" t="str">
        <x:v>Провести испытание и сверку журнала</x:v>
      </x:c>
      <x:c r="G5" s="8" t="str">
        <x:v>Системный администратор</x:v>
      </x:c>
      <x:c r="H5" s="8" t="str">
        <x:v>До 10 дней</x:v>
      </x:c>
      <x:c r="I5" s="8" t="str">
        <x:v>Не начато</x:v>
      </x:c>
      <x:c r="J5" s="8" t="str">
        <x:v>Протокол восстановления</x:v>
      </x:c>
      <x:c r="K5" s="8" t="str">
        <x:v>149-ФЗ ст.16; 152-ФЗ ст.19 при применимости</x:v>
      </x:c>
      <x:c r="L5" s="8" t="str">
        <x:v>Нет</x:v>
      </x:c>
    </x:row>
  </x:sheetData>
  <x:dataValidations count="2">
    <x:dataValidation type="list" sqref="I2:I100">
      <x:formula1>"Не начато,В работе,На проверке,Закрыто,Отложено"</x:formula1>
    </x:dataValidation>
    <x:dataValidation type="list" sqref="L2:L100">
      <x:formula1>"Нет,Да"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48" hidden="0" customWidth="1"/>
    <x:col min="5" max="5" width="29" hidden="0" customWidth="1"/>
    <x:col min="6" max="6" width="16" hidden="0" customWidth="1"/>
    <x:col min="7" max="7" width="13" hidden="0" customWidth="1"/>
    <x:col min="8" max="8" width="37" hidden="0" customWidth="1"/>
  </x:cols>
  <x:sheetData>
    <x:row r="1" ht="32" customHeight="1">
      <x:c r="A1" s="4" t="str">
        <x:v>ID</x:v>
      </x:c>
      <x:c r="B1" s="4" t="str">
        <x:v>Контроль</x:v>
      </x:c>
      <x:c r="C1" s="4" t="str">
        <x:v>Актив</x:v>
      </x:c>
      <x:c r="D1" s="4" t="str">
        <x:v>Критерий</x:v>
      </x:c>
      <x:c r="E1" s="4" t="str">
        <x:v>Исходное состояние</x:v>
      </x:c>
      <x:c r="F1" s="4" t="str">
        <x:v>Проверено</x:v>
      </x:c>
      <x:c r="G1" s="4" t="str">
        <x:v>Пакет</x:v>
      </x:c>
      <x:c r="H1" s="4" t="str">
        <x:v>Доказательство</x:v>
      </x:c>
    </x:row>
    <x:row r="2" ht="52" customHeight="1">
      <x:c r="A2" s="8" t="str">
        <x:v>C-01</x:v>
      </x:c>
      <x:c r="B2" s="8" t="str">
        <x:v>МЭ</x:v>
      </x:c>
      <x:c r="C2" s="8" t="str">
        <x:v>A6</x:v>
      </x:c>
      <x:c r="D2" s="8" t="str">
        <x:v>Правило между пользовательским и административным сегментами</x:v>
      </x:c>
      <x:c r="E2" s="8" t="str">
        <x:v>Избыточное правило имеется</x:v>
      </x:c>
      <x:c r="F2" s="8" t="str">
        <x:v>Нет</x:v>
      </x:c>
      <x:c r="G2" s="8" t="str">
        <x:v>M4</x:v>
      </x:c>
      <x:c r="H2" s="8" t="str">
        <x:v>Снимок конфигурации, тест соединений</x:v>
      </x:c>
    </x:row>
    <x:row r="3" ht="52" customHeight="1">
      <x:c r="A3" s="8" t="str">
        <x:v>C-02</x:v>
      </x:c>
      <x:c r="B3" s="8" t="str">
        <x:v>EDR</x:v>
      </x:c>
      <x:c r="C3" s="8" t="str">
        <x:v>A3</x:v>
      </x:c>
      <x:c r="D3" s="8" t="str">
        <x:v>Активный агент на каждом из 5 критичных АРМ</x:v>
      </x:c>
      <x:c r="E3" s="8" t="str">
        <x:v>3 из 5</x:v>
      </x:c>
      <x:c r="F3" s="8" t="str">
        <x:v>Нет</x:v>
      </x:c>
      <x:c r="G3" s="8" t="str">
        <x:v>M8</x:v>
      </x:c>
      <x:c r="H3" s="8" t="str">
        <x:v>Консоль, контрольное событие</x:v>
      </x:c>
    </x:row>
    <x:row r="4" ht="52" customHeight="1">
      <x:c r="A4" s="8" t="str">
        <x:v>C-03</x:v>
      </x:c>
      <x:c r="B4" s="8" t="str">
        <x:v>SIEM / сборщик</x:v>
      </x:c>
      <x:c r="C4" s="8" t="str">
        <x:v>A4</x:v>
      </x:c>
      <x:c r="D4" s="8" t="str">
        <x:v>События Т1 и Т2 доставляются, контроль потери источника</x:v>
      </x:c>
      <x:c r="E4" s="8" t="str">
        <x:v>Не проверено</x:v>
      </x:c>
      <x:c r="F4" s="8" t="str">
        <x:v>Нет</x:v>
      </x:c>
      <x:c r="G4" s="8" t="str">
        <x:v>M6</x:v>
      </x:c>
      <x:c r="H4" s="8" t="str">
        <x:v>Контрольное событие и время доставки</x:v>
      </x:c>
    </x:row>
    <x:row r="5" ht="52" customHeight="1">
      <x:c r="A5" s="8" t="str">
        <x:v>C-04</x:v>
      </x:c>
      <x:c r="B5" s="8" t="str">
        <x:v>Резервирование</x:v>
      </x:c>
      <x:c r="C5" s="8" t="str">
        <x:v>A5 / A1</x:v>
      </x:c>
      <x:c r="D5" s="8" t="str">
        <x:v>RPO ≤ 15 мин, RTO ≤ 60 мин</x:v>
      </x:c>
      <x:c r="E5" s="8" t="str">
        <x:v>Не проверено</x:v>
      </x:c>
      <x:c r="F5" s="8" t="str">
        <x:v>Нет</x:v>
      </x:c>
      <x:c r="G5" s="8" t="str">
        <x:v>M7</x:v>
      </x:c>
      <x:c r="H5" s="8" t="str">
        <x:v>Протокол тестового восстановления</x:v>
      </x:c>
    </x:row>
    <x:row r="6" ht="52" customHeight="1">
      <x:c r="A6" s="8" t="str">
        <x:v>C-05</x:v>
      </x:c>
      <x:c r="B6" s="8" t="str">
        <x:v>Портал</x:v>
      </x:c>
      <x:c r="C6" s="8" t="str">
        <x:v>A2</x:v>
      </x:c>
      <x:c r="D6" s="8" t="str">
        <x:v>Роли, TLS, сессии, аудит выгрузок</x:v>
      </x:c>
      <x:c r="E6" s="8" t="str">
        <x:v>Не проверено</x:v>
      </x:c>
      <x:c r="F6" s="8" t="str">
        <x:v>Нет</x:v>
      </x:c>
      <x:c r="G6" s="8" t="str">
        <x:v>M5</x:v>
      </x:c>
      <x:c r="H6" s="8" t="str">
        <x:v>Тест ролей и журнал приложения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14" hidden="0" customWidth="1"/>
    <x:col min="4" max="4" width="28" hidden="0" customWidth="1"/>
    <x:col min="5" max="5" width="42" hidden="0" customWidth="1"/>
    <x:col min="6" max="6" width="38" hidden="0" customWidth="1"/>
    <x:col min="7" max="7" width="35" hidden="0" customWidth="1"/>
    <x:col min="8" max="8" width="20" hidden="0" customWidth="1"/>
  </x:cols>
  <x:sheetData>
    <x:row r="1" ht="32" customHeight="1">
      <x:c r="A1" s="4" t="str">
        <x:v>Точка</x:v>
      </x:c>
      <x:c r="B1" s="4" t="str">
        <x:v>Место</x:v>
      </x:c>
      <x:c r="C1" s="4" t="str">
        <x:v>Актив</x:v>
      </x:c>
      <x:c r="D1" s="4" t="str">
        <x:v>Источник</x:v>
      </x:c>
      <x:c r="E1" s="4" t="str">
        <x:v>Какие события</x:v>
      </x:c>
      <x:c r="F1" s="4" t="str">
        <x:v>Выявляемая угроза</x:v>
      </x:c>
      <x:c r="G1" s="4" t="str">
        <x:v>Проверка</x:v>
      </x:c>
      <x:c r="H1" s="4" t="str">
        <x:v>Состояние</x:v>
      </x:c>
    </x:row>
    <x:row r="2" ht="52" customHeight="1">
      <x:c r="A2" s="8" t="str">
        <x:v>Т1</x:v>
      </x:c>
      <x:c r="B2" s="8" t="str">
        <x:v>Сетевая граница</x:v>
      </x:c>
      <x:c r="C2" s="8" t="str">
        <x:v>A6 / A3</x:v>
      </x:c>
      <x:c r="D2" s="8" t="str">
        <x:v>МЭ, VPN, NetFlow</x:v>
      </x:c>
      <x:c r="E2" s="8" t="str">
        <x:v>Соединения, блокировки, аутентификация</x:v>
      </x:c>
      <x:c r="F2" s="8" t="str">
        <x:v>Запрещённый доступ к админсегменту</x:v>
      </x:c>
      <x:c r="G2" s="8" t="str">
        <x:v>Контрольное запрещённое соединение</x:v>
      </x:c>
      <x:c r="H2" s="8" t="str">
        <x:v>Не проверено</x:v>
      </x:c>
    </x:row>
    <x:row r="3" ht="52" customHeight="1">
      <x:c r="A3" s="8" t="str">
        <x:v>Т2</x:v>
      </x:c>
      <x:c r="B3" s="8" t="str">
        <x:v>Прикладная граница</x:v>
      </x:c>
      <x:c r="C3" s="8" t="str">
        <x:v>A1 / A2</x:v>
      </x:c>
      <x:c r="D3" s="8" t="str">
        <x:v>Журнал портала и архива</x:v>
      </x:c>
      <x:c r="E3" s="8" t="str">
        <x:v>Входы, роли, чтение, выгрузки</x:v>
      </x:c>
      <x:c r="F3" s="8" t="str">
        <x:v>Массовая выгрузка / нарушение прав</x:v>
      </x:c>
      <x:c r="G3" s="8" t="str">
        <x:v>Тестовая операция с документом</x:v>
      </x:c>
      <x:c r="H3" s="8" t="str">
        <x:v>Не проверено</x:v>
      </x:c>
    </x:row>
    <x:row r="4" ht="52" customHeight="1">
      <x:c r="A4" s="8" t="str">
        <x:v>Доп. EDR</x:v>
      </x:c>
      <x:c r="B4" s="8" t="str">
        <x:v>Критичные АРМ</x:v>
      </x:c>
      <x:c r="C4" s="8" t="str">
        <x:v>A3</x:v>
      </x:c>
      <x:c r="D4" s="8" t="str">
        <x:v>EDR</x:v>
      </x:c>
      <x:c r="E4" s="8" t="str">
        <x:v>Процессы, отключение агента</x:v>
      </x:c>
      <x:c r="F4" s="8" t="str">
        <x:v>Отключение защиты</x:v>
      </x:c>
      <x:c r="G4" s="8" t="str">
        <x:v>Проверка всех 5 АРМ</x:v>
      </x:c>
      <x:c r="H4" s="8" t="str">
        <x:v>3/5 активно</x:v>
      </x:c>
    </x:row>
    <x:row r="5" ht="52" customHeight="1">
      <x:c r="A5" s="8" t="str">
        <x:v>Доп. A5</x:v>
      </x:c>
      <x:c r="B5" s="8" t="str">
        <x:v>Резервирование</x:v>
      </x:c>
      <x:c r="C5" s="8" t="str">
        <x:v>A5</x:v>
      </x:c>
      <x:c r="D5" s="8" t="str">
        <x:v>Журнал резервирования</x:v>
      </x:c>
      <x:c r="E5" s="8" t="str">
        <x:v>Ошибки копий, доступ к ключам</x:v>
      </x:c>
      <x:c r="F5" s="8" t="str">
        <x:v>Нарушение восстановления</x:v>
      </x:c>
      <x:c r="G5" s="8" t="str">
        <x:v>Тестовая копия</x:v>
      </x:c>
      <x:c r="H5" s="8" t="str">
        <x:v>Не проверено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4" hidden="0" customWidth="1"/>
    <x:col min="3" max="3" width="13" hidden="0" customWidth="1"/>
    <x:col min="4" max="4" width="16" hidden="0" customWidth="1"/>
    <x:col min="5" max="5" width="27" hidden="0" customWidth="1"/>
    <x:col min="6" max="6" width="17" hidden="0" customWidth="1"/>
    <x:col min="7" max="7" width="19" hidden="0" customWidth="1"/>
    <x:col min="8" max="8" width="35" hidden="0" customWidth="1"/>
    <x:col min="9" max="9" width="34" hidden="0" customWidth="1"/>
  </x:cols>
  <x:sheetData>
    <x:row r="1" ht="32" customHeight="1">
      <x:c r="A1" s="4" t="str">
        <x:v>Код</x:v>
      </x:c>
      <x:c r="B1" s="4" t="str">
        <x:v>Мера</x:v>
      </x:c>
      <x:c r="C1" s="4" t="str">
        <x:v>Баллы</x:v>
      </x:c>
      <x:c r="D1" s="4" t="str">
        <x:v>Актив</x:v>
      </x:c>
      <x:c r="E1" s="4" t="str">
        <x:v>Ответственный</x:v>
      </x:c>
      <x:c r="F1" s="4" t="str">
        <x:v>Срок, дней</x:v>
      </x:c>
      <x:c r="G1" s="4" t="str">
        <x:v>Статус</x:v>
      </x:c>
      <x:c r="H1" s="4" t="str">
        <x:v>Критерий приёмки</x:v>
      </x:c>
      <x:c r="I1" s="4" t="str">
        <x:v>Правовая основа</x:v>
      </x:c>
    </x:row>
    <x:row r="2" ht="52" customHeight="1">
      <x:c r="A2" s="8" t="str">
        <x:v>M4</x:v>
      </x:c>
      <x:c r="B2" s="8" t="str">
        <x:v>Сегментация и правила МЭ</x:v>
      </x:c>
      <x:c r="C2" s="8" t="n">
        <x:v>2</x:v>
      </x:c>
      <x:c r="D2" s="8" t="str">
        <x:v>A6 / A3</x:v>
      </x:c>
      <x:c r="E2" s="8" t="str">
        <x:v>Сетевой администратор</x:v>
      </x:c>
      <x:c r="F2" s="8" t="n">
        <x:v>5</x:v>
      </x:c>
      <x:c r="G2" s="8" t="str">
        <x:v>Предложено</x:v>
      </x:c>
      <x:c r="H2" s="8" t="str">
        <x:v>Матрица ACL + тест</x:v>
      </x:c>
      <x:c r="I2" s="8" t="str">
        <x:v>149-ФЗ ст.16</x:v>
      </x:c>
    </x:row>
    <x:row r="3" ht="52" customHeight="1">
      <x:c r="A3" s="8" t="str">
        <x:v>M8</x:v>
      </x:c>
      <x:c r="B3" s="8" t="str">
        <x:v>Защита рабочих станций</x:v>
      </x:c>
      <x:c r="C3" s="8" t="n">
        <x:v>2</x:v>
      </x:c>
      <x:c r="D3" s="8" t="str">
        <x:v>A3</x:v>
      </x:c>
      <x:c r="E3" s="8" t="str">
        <x:v>Инженер ИБ</x:v>
      </x:c>
      <x:c r="F3" s="8" t="n">
        <x:v>3</x:v>
      </x:c>
      <x:c r="G3" s="8" t="str">
        <x:v>Предложено</x:v>
      </x:c>
      <x:c r="H3" s="8" t="str">
        <x:v>EDR 5/5 + тест</x:v>
      </x:c>
      <x:c r="I3" s="8" t="str">
        <x:v>152-ФЗ ст.19 при применимости</x:v>
      </x:c>
    </x:row>
    <x:row r="4" ht="52" customHeight="1">
      <x:c r="A4" s="8" t="str">
        <x:v>M7</x:v>
      </x:c>
      <x:c r="B4" s="8" t="str">
        <x:v>Проверяемое восстановление</x:v>
      </x:c>
      <x:c r="C4" s="8" t="n">
        <x:v>3</x:v>
      </x:c>
      <x:c r="D4" s="8" t="str">
        <x:v>A1 / A5</x:v>
      </x:c>
      <x:c r="E4" s="8" t="str">
        <x:v>Системный администратор</x:v>
      </x:c>
      <x:c r="F4" s="8" t="n">
        <x:v>10</x:v>
      </x:c>
      <x:c r="G4" s="8" t="str">
        <x:v>Предложено</x:v>
      </x:c>
      <x:c r="H4" s="8" t="str">
        <x:v>RPO 15 / RTO 60 + протокол</x:v>
      </x:c>
      <x:c r="I4" s="8" t="str">
        <x:v>149-ФЗ ст.16</x:v>
      </x:c>
    </x:row>
    <x:row r="5" ht="52" customHeight="1">
      <x:c r="A5" s="8" t="str">
        <x:v>M6</x:v>
      </x:c>
      <x:c r="B5" s="8" t="str">
        <x:v>Работающий сбор событий</x:v>
      </x:c>
      <x:c r="C5" s="8" t="n">
        <x:v>2</x:v>
      </x:c>
      <x:c r="D5" s="8" t="str">
        <x:v>A4</x:v>
      </x:c>
      <x:c r="E5" s="8" t="str">
        <x:v>Инженер SOC</x:v>
      </x:c>
      <x:c r="F5" s="8" t="n">
        <x:v>7</x:v>
      </x:c>
      <x:c r="G5" s="8" t="str">
        <x:v>Предложено</x:v>
      </x:c>
      <x:c r="H5" s="8" t="str">
        <x:v>Т1/Т2 + контроль доставки</x:v>
      </x:c>
      <x:c r="I5" s="8" t="str">
        <x:v>152-ФЗ ст.19 при применимости</x:v>
      </x:c>
    </x:row>
    <x:row r="6" ht="52" customHeight="1">
      <x:c r="A6" s="8" t="str">
        <x:v>M5</x:v>
      </x:c>
      <x:c r="B6" s="8" t="str">
        <x:v>Защита портала</x:v>
      </x:c>
      <x:c r="C6" s="8" t="n">
        <x:v>2</x:v>
      </x:c>
      <x:c r="D6" s="8" t="str">
        <x:v>A2</x:v>
      </x:c>
      <x:c r="E6" s="8" t="str">
        <x:v>Администратор приложения</x:v>
      </x:c>
      <x:c r="F6" s="8" t="n">
        <x:v>14</x:v>
      </x:c>
      <x:c r="G6" s="8" t="str">
        <x:v>Предложено</x:v>
      </x:c>
      <x:c r="H6" s="8" t="str">
        <x:v>Тест ролей и операций</x:v>
      </x:c>
      <x:c r="I6" s="8" t="str">
        <x:v>149-ФЗ ст.16</x:v>
      </x:c>
    </x:row>
  </x:sheetData>
  <x:dataValidations count="1">
    <x:dataValidation type="list" sqref="G2:G50">
      <x:formula1>"Предложено,Согласовано,Выполняется,Проверено,Отложено"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21" hidden="0" customWidth="1"/>
  </x:cols>
  <x:sheetData>
    <x:row r="1" ht="38" customHeight="1">
      <x:c r="A1" s="3" t="str">
        <x:v>АУДИТ ИБ — «РУБЕЖ»</x:v>
      </x:c>
      <x:c r="B1" s="3"/>
      <x:c r="C1" s="3"/>
      <x:c r="D1" s="3"/>
      <x:c r="E1" s="3"/>
      <x:c r="F1" s="3"/>
    </x:row>
    <x:row r="3">
      <x:c r="A3" s="11" t="str">
        <x:v>Показатель</x:v>
      </x:c>
      <x:c r="B3" s="11" t="str">
        <x:v>Значение</x:v>
      </x:c>
    </x:row>
    <x:row r="4">
      <x:c r="A4" t="str">
        <x:v>Зафиксировано наблюдений</x:v>
      </x:c>
      <x:c r="B4" t="n">
        <x:f>COUNTA('02 Журнал аудита'!A2:A100)</x:f>
        <x:v>4</x:v>
      </x:c>
    </x:row>
    <x:row r="5">
      <x:c r="A5" t="str">
        <x:v>Подтверждённые недостатки</x:v>
      </x:c>
      <x:c r="B5" t="n">
        <x:f>COUNTIF('02 Журнал аудита'!D2:D100,"Подтверждено карточкой")</x:f>
        <x:v>2</x:v>
      </x:c>
    </x:row>
    <x:row r="6">
      <x:c r="A6" t="str">
        <x:v>Планируемый бюджет, баллы</x:v>
      </x:c>
      <x:c r="B6" t="n">
        <x:f>SUM('05 План и бюджет'!C2:C100)</x:f>
        <x:v>11</x:v>
      </x:c>
    </x:row>
    <x:row r="7">
      <x:c r="A7" t="str">
        <x:v>Лимит бюджета, баллы</x:v>
      </x:c>
      <x:c r="B7" t="n">
        <x:v>12</x:v>
      </x:c>
    </x:row>
    <x:row r="8">
      <x:c r="A8" t="str">
        <x:v>Остаток бюджета, баллы</x:v>
      </x:c>
      <x:c r="B8" t="n">
        <x:f>B7-B6</x:f>
        <x:v>1</x:v>
      </x:c>
    </x:row>
    <x:row r="10" ht="32" customHeight="1">
      <x:c r="A10" s="15" t="str">
        <x:v>ВАЖНО: бюджет 11/12 — предложение П0, не утверждённый расход.</x:v>
      </x:c>
      <x:c r="B10" s="15"/>
      <x:c r="C10" s="15"/>
      <x:c r="D10" s="15"/>
      <x:c r="E10" s="15"/>
      <x:c r="F10" s="15"/>
    </x:row>
    <x:row r="12" ht="32" customHeight="1">
      <x:c r="A12" s="15" t="str">
        <x:v>RPO архива — 15 минут; RTO — 60 минут. Достижение пока не подтверждено испытанием.</x:v>
      </x:c>
      <x:c r="B12" s="15"/>
      <x:c r="C12" s="15"/>
      <x:c r="D12" s="15"/>
      <x:c r="E12" s="15"/>
      <x:c r="F12" s="15"/>
    </x:row>
  </x:sheetData>
  <x:mergeCells>
    <x:mergeCell ref="A1:F1"/>
    <x:mergeCell ref="A10:F10"/>
    <x:mergeCell ref="A12:F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62" hidden="0" customWidth="1"/>
    <x:col min="4" max="4" width="23" hidden="0" customWidth="1"/>
    <x:col min="5" max="5" width="19" hidden="0" customWidth="1"/>
    <x:col min="6" max="6" width="32" hidden="0" customWidth="1"/>
  </x:cols>
  <x:sheetData>
    <x:row r="1" ht="32" customHeight="1">
      <x:c r="A1" s="4" t="str">
        <x:v>Протокол</x:v>
      </x:c>
      <x:c r="B1" s="4" t="str">
        <x:v>Тип</x:v>
      </x:c>
      <x:c r="C1" s="4" t="str">
        <x:v>Содержание</x:v>
      </x:c>
      <x:c r="D1" s="4" t="str">
        <x:v>Ответственный</x:v>
      </x:c>
      <x:c r="E1" s="4" t="str">
        <x:v>Статус</x:v>
      </x:c>
      <x:c r="F1" s="4" t="str">
        <x:v>Основание / доказательство</x:v>
      </x:c>
    </x:row>
    <x:row r="2" ht="52" customHeight="1">
      <x:c r="A2" s="8" t="str">
        <x:v>П0</x:v>
      </x:c>
      <x:c r="B2" s="8" t="str">
        <x:v>Исходные условия</x:v>
      </x:c>
      <x:c r="C2" s="8" t="str">
        <x:v>Избыточное правило МЭ, EDR 3/5</x:v>
      </x:c>
      <x:c r="D2" s="8" t="str">
        <x:v>Группа 4</x:v>
      </x:c>
      <x:c r="E2" s="8" t="str">
        <x:v>Открыто</x:v>
      </x:c>
      <x:c r="F2" s="8" t="str">
        <x:v>Карточка группы 4</x:v>
      </x:c>
    </x:row>
    <x:row r="3" ht="52" customHeight="1">
      <x:c r="A3" s="8" t="str">
        <x:v>П0</x:v>
      </x:c>
      <x:c r="B3" s="8" t="str">
        <x:v>Запрос группе 2</x:v>
      </x:c>
      <x:c r="C3" s="8" t="str">
        <x:v>Уточнить зависимости, окна обслуживания, ограничения</x:v>
      </x:c>
      <x:c r="D3" s="8" t="str">
        <x:v>Переговорщик</x:v>
      </x:c>
      <x:c r="E3" s="8" t="str">
        <x:v>Ожидается</x:v>
      </x:c>
      <x:c r="F3" s="8" t="str">
        <x:v>Запрос до 45-й минуты</x:v>
      </x:c>
    </x:row>
    <x:row r="4" ht="52" customHeight="1">
      <x:c r="A4" s="8" t="str">
        <x:v>П0</x:v>
      </x:c>
      <x:c r="B4" s="8" t="str">
        <x:v>Запрос группе 3</x:v>
      </x:c>
      <x:c r="C4" s="8" t="str">
        <x:v>Получить механизм угрозы и признаки компрометации</x:v>
      </x:c>
      <x:c r="D4" s="8" t="str">
        <x:v>Аналитик</x:v>
      </x:c>
      <x:c r="E4" s="8" t="str">
        <x:v>Ожидается</x:v>
      </x:c>
      <x:c r="F4" s="8" t="str">
        <x:v>Запрос до 45-й минуты</x:v>
      </x:c>
    </x:row>
    <x:row r="5" ht="52" customHeight="1">
      <x:c r="A5" s="8" t="str">
        <x:v>П0</x:v>
      </x:c>
      <x:c r="B5" s="8" t="str">
        <x:v>Передача группе 1</x:v>
      </x:c>
      <x:c r="C5" s="8" t="str">
        <x:v>Предложить пакет 11 баллов из 12</x:v>
      </x:c>
      <x:c r="D5" s="8" t="str">
        <x:v>Координатор</x:v>
      </x:c>
      <x:c r="E5" s="8" t="str">
        <x:v>Ожидается</x:v>
      </x:c>
      <x:c r="F5" s="8" t="str">
        <x:v>Согласование бюджета</x:v>
      </x:c>
    </x:row>
    <x:row r="6" ht="52" customHeight="1">
      <x:c r="A6" s="8" t="str">
        <x:v>П1</x:v>
      </x:c>
      <x:c r="B6" s="8" t="str">
        <x:v>Новая вводная</x:v>
      </x:c>
      <x:c r="C6" s="8" t="str">
        <x:v>Заполнить после выдачи факта</x:v>
      </x:c>
      <x:c r="D6" s="8" t="str">
        <x:v>Секретарь</x:v>
      </x:c>
      <x:c r="E6" s="8" t="str">
        <x:v>Ожидается</x:v>
      </x:c>
      <x:c r="F6" s="8" t="str">
        <x:v>Не выдумывать результат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56" hidden="0" customWidth="1"/>
    <x:col min="3" max="3" width="68" hidden="0" customWidth="1"/>
  </x:cols>
  <x:sheetData>
    <x:row r="1" ht="32" customHeight="1">
      <x:c r="A1" s="4" t="str">
        <x:v>Шаг</x:v>
      </x:c>
      <x:c r="B1" s="4" t="str">
        <x:v>Что делать</x:v>
      </x:c>
      <x:c r="C1" s="4" t="str">
        <x:v>Правило</x:v>
      </x:c>
    </x:row>
    <x:row r="2" ht="52" customHeight="1">
      <x:c r="A2" s="8" t="str">
        <x:v>1</x:v>
      </x:c>
      <x:c r="B2" s="8" t="str">
        <x:v>Заполнить роли и фактические даты в журнале аудита</x:v>
      </x:c>
      <x:c r="C2" s="8" t="str">
        <x:v>Не выдавать предположение за подтверждённый факт</x:v>
      </x:c>
    </x:row>
    <x:row r="3" ht="52" customHeight="1">
      <x:c r="A3" s="8" t="str">
        <x:v>2</x:v>
      </x:c>
      <x:c r="B3" s="8" t="str">
        <x:v>По каждому контролю приложить доказательство</x:v>
      </x:c>
      <x:c r="C3" s="8" t="str">
        <x:v>Скриншот, экспорт лога, протокол проверки</x:v>
      </x:c>
    </x:row>
    <x:row r="4" ht="52" customHeight="1">
      <x:c r="A4" s="8" t="str">
        <x:v>3</x:v>
      </x:c>
      <x:c r="B4" s="8" t="str">
        <x:v>Обновлять статусы после проверки</x:v>
      </x:c>
      <x:c r="C4" s="8" t="str">
        <x:v>Закрывать только после подтверждения</x:v>
      </x:c>
    </x:row>
    <x:row r="5" ht="52" customHeight="1">
      <x:c r="A5" s="8" t="str">
        <x:v>4</x:v>
      </x:c>
      <x:c r="B5" s="8" t="str">
        <x:v>После новых вводных обновить протокол П1</x:v>
      </x:c>
      <x:c r="C5" s="8" t="str">
        <x:v>Сохранить прежнее решение и причину пересмотра</x:v>
      </x:c>
    </x:row>
    <x:row r="6" ht="52" customHeight="1">
      <x:c r="A6" s="8" t="str">
        <x:v>5</x:v>
      </x:c>
      <x:c r="B6" s="8" t="str">
        <x:v>Передать результаты группе 5 и стоимость группе 1</x:v>
      </x:c>
      <x:c r="C6" s="8" t="str">
        <x:v>12 баллов — общий лимит всей компании</x:v>
      </x:c>
    </x:row>
    <x:row r="7" ht="52" customHeight="1">
      <x:c r="A7" s="8" t="str">
        <x:v>6</x:v>
      </x:c>
      <x:c r="B7" s="8" t="str">
        <x:v>Проверить юридический режим системы</x:v>
      </x:c>
      <x:c r="C7" s="8" t="str">
        <x:v>ПДн есть; ГИС/КИИ и гостайна не установлены</x:v>
      </x:c>
    </x:row>
  </x:sheetData>
  <x:pageMargins left="0.7" right="0.7" top="0.75" bottom="0.75" header="0.3" footer="0.3"/>
</x:worksheet>
</file>